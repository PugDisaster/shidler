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Hedging (Rec)" sheetId="1" state="visible" r:id="rId3"/>
    <sheet name="Notes &amp; Assumptions" sheetId="2" state="visible" r:id="rId4"/>
  </sheets>
  <definedNames>
    <definedName function="false" hidden="false" name="F0_in" vbProcedure="false">'Transaction Hedging (Rec)'!$B$12</definedName>
    <definedName function="false" hidden="false" name="FC_AMT" vbProcedure="false">'Transaction Hedging (Rec)'!$B$6</definedName>
    <definedName function="false" hidden="false" name="K_PUT" vbProcedure="false">'Transaction Hedging (Rec)'!$B$14</definedName>
    <definedName function="false" hidden="false" name="PREM_PUT" vbProcedure="false">'Transaction Hedging (Rec)'!$B$15</definedName>
    <definedName function="false" hidden="false" name="R_FC" vbProcedure="false">'Transaction Hedging (Rec)'!$B$10</definedName>
    <definedName function="false" hidden="false" name="R_USD" vbProcedure="false">'Transaction Hedging (Rec)'!$B$9</definedName>
    <definedName function="false" hidden="false" name="S0_in" vbProcedure="false">'Transaction Hedging (Rec)'!$B$7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<sst xmlns="http://schemas.openxmlformats.org/spreadsheetml/2006/main" count="125" uniqueCount="116">
  <si>
    <t xml:space="preserve">Hedging Foreign Currency Receivables — Greenfield Solar | FIN 321 | Cameron</t>
  </si>
  <si>
    <t xml:space="preserve">Scenario 1: U.S. Solar Equipment Importer — €4,500,000 EUR receivable in 1 year  |  LLM: Claude (Anthropic)</t>
  </si>
  <si>
    <t xml:space="preserve">GIVEN  (Yellow = Editable Inputs)</t>
  </si>
  <si>
    <t xml:space="preserve">Parameter</t>
  </si>
  <si>
    <t xml:space="preserve">Variables</t>
  </si>
  <si>
    <t xml:space="preserve">Key</t>
  </si>
  <si>
    <t xml:space="preserve">Notes / Source</t>
  </si>
  <si>
    <t xml:space="preserve">1-Year EUR Receivable (FC Amount)</t>
  </si>
  <si>
    <t xml:space="preserve">Editable</t>
  </si>
  <si>
    <t xml:space="preserve">Source: Prof. Stauffer Scenario 1</t>
  </si>
  <si>
    <t xml:space="preserve">Current EUR/USD Spot Rate  S₀</t>
  </si>
  <si>
    <t xml:space="preserve">Source: Yahoo Finance, Apr 3 2026</t>
  </si>
  <si>
    <t xml:space="preserve">Money Market</t>
  </si>
  <si>
    <t xml:space="preserve">U.S. 1-Year Interest Rate  r_USD (domestic)</t>
  </si>
  <si>
    <t xml:space="preserve">Fed Funds midpoint 3.50–3.75%, Apr 2026</t>
  </si>
  <si>
    <t xml:space="preserve">EUR 1-Year Interest Rate  r_EUR (foreign)</t>
  </si>
  <si>
    <t xml:space="preserve">ECB Deposit Facility Rate, Apr 2026</t>
  </si>
  <si>
    <t xml:space="preserve">Forwards</t>
  </si>
  <si>
    <t xml:space="preserve">EUR/USD 1-Year Forward Rate  F₀</t>
  </si>
  <si>
    <t xml:space="preserve">Options</t>
  </si>
  <si>
    <t xml:space="preserve">EUR/USD Put Strike Price  K_PUT</t>
  </si>
  <si>
    <t xml:space="preserve">Assumed ATM; confirm from scenario sheet</t>
  </si>
  <si>
    <t xml:space="preserve">EUR/USD Put Premium  (USD per EUR)</t>
  </si>
  <si>
    <t xml:space="preserve">1.  Forward Hedge</t>
  </si>
  <si>
    <t xml:space="preserve">[a]  Sell EUR/USD 1-Year Forward</t>
  </si>
  <si>
    <t xml:space="preserve">&lt;-- LOCKED IN: in one year we will have this amount</t>
  </si>
  <si>
    <t xml:space="preserve">FC_AMT x F0  (Forward Rate)</t>
  </si>
  <si>
    <t xml:space="preserve">2.  Money Market Hedge</t>
  </si>
  <si>
    <t xml:space="preserve">[a]  Borrow PV of EUR receivable (at r_EUR)</t>
  </si>
  <si>
    <t xml:space="preserve">FC_AMT / (1 + r_EUR)</t>
  </si>
  <si>
    <t xml:space="preserve">[b]  Convert [a] to USD at spot S₀</t>
  </si>
  <si>
    <t xml:space="preserve">[a] x S0  (Spot Rate)</t>
  </si>
  <si>
    <t xml:space="preserve">[c]  Invest [b] at domestic rate r_USD  (FV)</t>
  </si>
  <si>
    <t xml:space="preserve">[b] x (1 + r_USD)</t>
  </si>
  <si>
    <t xml:space="preserve">    Parity Check  (MM − Forward)  ≈ $0</t>
  </si>
  <si>
    <t xml:space="preserve">Should be near zero — confirms covered interest parity</t>
  </si>
  <si>
    <t xml:space="preserve">3.  Option Hedge  (EUR Put)</t>
  </si>
  <si>
    <t xml:space="preserve">[a]  Buy Puts  (total premium cost, USD)</t>
  </si>
  <si>
    <t xml:space="preserve">Put Premium x FC Amount  (cash outflow today)</t>
  </si>
  <si>
    <t xml:space="preserve">[b]  FV of premium at r_USD (opportunity cost)</t>
  </si>
  <si>
    <t xml:space="preserve">[a] x (1 + r_USD)  — FV of premium cost</t>
  </si>
  <si>
    <t xml:space="preserve">    Floor: Minimum USD Proceeds  (put exercised)</t>
  </si>
  <si>
    <t xml:space="preserve">&lt;-- FLOOR: minimum amount we will receive</t>
  </si>
  <si>
    <t xml:space="preserve">FC x K_PUT + FV(premium)  — worst-case floor</t>
  </si>
  <si>
    <t xml:space="preserve">4.  Scenario Analysis — USD Proceeds by Strategy  (S_T: 0.95×S₀ → 1.05×S₀)</t>
  </si>
  <si>
    <t xml:space="preserve">Future Spot Rate
S_T (USD/EUR)</t>
  </si>
  <si>
    <t xml:space="preserve">0. No Hedge
(USD Proceeds)</t>
  </si>
  <si>
    <t xml:space="preserve">1. Forward Hedge
(USD Proceeds)</t>
  </si>
  <si>
    <t xml:space="preserve">2. Money Market
(USD Proceeds)</t>
  </si>
  <si>
    <t xml:space="preserve">3. Option Hedge
(USD Proceeds)</t>
  </si>
  <si>
    <t xml:space="preserve">Hedge P&amp;L vs
No Hedge: Fwd</t>
  </si>
  <si>
    <t xml:space="preserve">Hedge P&amp;L vs
No Hedge: MM</t>
  </si>
  <si>
    <t xml:space="preserve">Hedge P&amp;L vs
No Hedge: Option</t>
  </si>
  <si>
    <t xml:space="preserve">Winner vs
No Hedge</t>
  </si>
  <si>
    <t xml:space="preserve">Winner among
Hedges Only</t>
  </si>
  <si>
    <t xml:space="preserve">5.  Summary Output  (Gray = KPIs)</t>
  </si>
  <si>
    <t xml:space="preserve">Strategy</t>
  </si>
  <si>
    <t xml:space="preserve">USD Proceeds</t>
  </si>
  <si>
    <t xml:space="preserve">vs Unhedged (at S₀)</t>
  </si>
  <si>
    <t xml:space="preserve">Key Characteristic</t>
  </si>
  <si>
    <t xml:space="preserve">0. No Hedge  (at current spot S₀)</t>
  </si>
  <si>
    <t xml:space="preserve">—</t>
  </si>
  <si>
    <t xml:space="preserve">Full upside and downside; no cost; benchmark</t>
  </si>
  <si>
    <t xml:space="preserve">1. Forward Contract</t>
  </si>
  <si>
    <t xml:space="preserve">100% certainty; zero premium; no upside participation</t>
  </si>
  <si>
    <t xml:space="preserve">2. Money Market Hedge</t>
  </si>
  <si>
    <t xml:space="preserve">Synthetic forward; parity with forward; needs credit facility</t>
  </si>
  <si>
    <t xml:space="preserve">3. Option Hedge  (floor at K_PUT, base S_T = S₀)</t>
  </si>
  <si>
    <t xml:space="preserve">Downside floor; upside retained; FV premium cost reduces proceeds</t>
  </si>
  <si>
    <t xml:space="preserve">★  Hedge Recommendation  (Stage 4)</t>
  </si>
  <si>
    <t xml:space="preserve">[To be completed in Stage 4]</t>
  </si>
  <si>
    <t xml:space="preserve">Notes &amp; Assumptions  |  FX Hedge Model  |  Cameron  |  FIN 321</t>
  </si>
  <si>
    <t xml:space="preserve">Model Overview</t>
  </si>
  <si>
    <t xml:space="preserve">Purpose</t>
  </si>
  <si>
    <t xml:space="preserve">Evaluate three FX hedging strategies for a €4,500,000 EUR receivable maturing April 3, 2027. Strategies: Forward Contract, Money Market Hedge, EUR Put Option.</t>
  </si>
  <si>
    <t xml:space="preserve">Prepared by</t>
  </si>
  <si>
    <t xml:space="preserve">Cameron  |  FIN 321 International Finance &amp; Securities  |  Shidler College of Business, UH Manoa</t>
  </si>
  <si>
    <t xml:space="preserve">Date</t>
  </si>
  <si>
    <t xml:space="preserve">April 3, 2026</t>
  </si>
  <si>
    <t xml:space="preserve">LLM Assistance</t>
  </si>
  <si>
    <t xml:space="preserve">Claude (Anthropic, claude-sonnet-4-6) — assisted with model structure, formula logic, and layout</t>
  </si>
  <si>
    <t xml:space="preserve">Key Assumptions</t>
  </si>
  <si>
    <t xml:space="preserve">Option Strike K</t>
  </si>
  <si>
    <t xml:space="preserve">Assumed at-the-money (ATM) = 1.0875 USD/EUR (same as forward). Confirm from Prof. Stauffer scenario sheet — update B14 if different.</t>
  </si>
  <si>
    <t xml:space="preserve">FV of Premium</t>
  </si>
  <si>
    <t xml:space="preserve">Put premium compounded forward at r_USD for 1 year per Prof. template convention: FV = -premium x FC x (1 + r_USD). This represents the true opportunity cost of hedging.</t>
  </si>
  <si>
    <t xml:space="preserve">Interest Rate Basis</t>
  </si>
  <si>
    <t xml:space="preserve">Annual simple interest, T=1 year. No continuous compounding or day-count adjustment.</t>
  </si>
  <si>
    <t xml:space="preserve">Money Market Hedge</t>
  </si>
  <si>
    <t xml:space="preserve">Assumes firm can borrow EUR at ECB deposit rate (2.00%) and invest USD at Fed Funds midpoint (3.625%). No bid-ask spread assumed on FX conversion.</t>
  </si>
  <si>
    <t xml:space="preserve">Transaction Costs</t>
  </si>
  <si>
    <t xml:space="preserve">Bid-ask spreads and broker fees excluded. Real-world execution would reduce net proceeds across all strategies.</t>
  </si>
  <si>
    <t xml:space="preserve">Credit Capacity</t>
  </si>
  <si>
    <t xml:space="preserve">Money market hedge assumes available EUR credit facility — not confirmed with Treasury.</t>
  </si>
  <si>
    <t xml:space="preserve">Data Sources</t>
  </si>
  <si>
    <t xml:space="preserve">Spot Rate S₀</t>
  </si>
  <si>
    <t xml:space="preserve">Yahoo Finance — EUR/USD, April 3 2026: 1.1522</t>
  </si>
  <si>
    <t xml:space="preserve">Forward Rate F₀</t>
  </si>
  <si>
    <t xml:space="preserve">Prof. Stauffer Scenario 1: 1.0875</t>
  </si>
  <si>
    <t xml:space="preserve">USD Interest Rate</t>
  </si>
  <si>
    <t xml:space="preserve">Federal Reserve — Fed Funds target midpoint 3.50-3.75% = 3.625%, April 2026</t>
  </si>
  <si>
    <t xml:space="preserve">EUR Interest Rate</t>
  </si>
  <si>
    <t xml:space="preserve">ECB — Deposit Facility Rate held at 2.00%, March 2026 meeting</t>
  </si>
  <si>
    <t xml:space="preserve">FC Amount &amp; Premium</t>
  </si>
  <si>
    <t xml:space="preserve">Prof. Stauffer Scenario 1: EUR 4,500,000; put premium $0.015/EUR; call premium $0.018/EUR</t>
  </si>
  <si>
    <t xml:space="preserve">Color Coding</t>
  </si>
  <si>
    <t xml:space="preserve">Yellow</t>
  </si>
  <si>
    <t xml:space="preserve">Editable inputs — change to run scenarios</t>
  </si>
  <si>
    <t xml:space="preserve">Green</t>
  </si>
  <si>
    <t xml:space="preserve">Formulas and intermediate calculations</t>
  </si>
  <si>
    <t xml:space="preserve">Gray</t>
  </si>
  <si>
    <t xml:space="preserve">Output KPIs and summary results</t>
  </si>
  <si>
    <t xml:space="preserve">Blue</t>
  </si>
  <si>
    <t xml:space="preserve">Assumption notes (this tab)</t>
  </si>
  <si>
    <t xml:space="preserve">Gold</t>
  </si>
  <si>
    <t xml:space="preserve">Stage 4 recommendation placeholder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</si>
</sst>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DEEFF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Proceeds by Hedge Strategy vs. Ending Spot Rate S_T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27987871"/>
        <c:axId val="26723913"/>
      </c:lineChart>
      <c:catAx>
        <c:axId val="279878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Ending Spot Rate S_T (USD/EUR)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23913"/>
        <c:crosses val="autoZero"/>
        <c:auto val="1"/>
        <c:lblAlgn val="ctr"/>
        <c:lblOffset val="100"/>
        <c:noMultiLvlLbl val="0"/>
      </c:catAx>
      <c:valAx>
        <c:axId val="26723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878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52</xdr:row>
      <xdr:rowOff>0</xdr:rowOff>
    </xdr:from>
    <xdr:to>
      <xdr:col>6</xdr:col>
      <xdr:colOff>689400</xdr:colOff>
      <xdr:row>78</xdr:row>
      <xdr:rowOff>86040</xdr:rowOff>
    </xdr:to>
    <xdr:graphicFrame>
      <xdr:nvGraphicFramePr>
        <xdr:cNvPr id="0" name="Chart 1"/>
        <xdr:cNvGraphicFramePr/>
      </xdr:nvGraphicFramePr>
      <xdr:xfrm>
        <a:off x="0" y="11030040"/>
        <a:ext cx="935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0" min="2" style="1" width="17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4"/>
      <c r="C4" s="4"/>
      <c r="D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7" t="n">
        <v>4500000</v>
      </c>
      <c r="C6" s="8" t="s">
        <v>8</v>
      </c>
      <c r="D6" s="9" t="s">
        <v>9</v>
      </c>
    </row>
    <row r="7" customFormat="false" ht="15" hidden="false" customHeight="true" outlineLevel="0" collapsed="false">
      <c r="A7" s="6" t="s">
        <v>10</v>
      </c>
      <c r="B7" s="10" t="n">
        <v>1.1522</v>
      </c>
      <c r="C7" s="8" t="s">
        <v>8</v>
      </c>
      <c r="D7" s="9" t="s">
        <v>11</v>
      </c>
    </row>
    <row r="8" customFormat="false" ht="15" hidden="false" customHeight="true" outlineLevel="0" collapsed="false">
      <c r="A8" s="11" t="s">
        <v>12</v>
      </c>
    </row>
    <row r="9" customFormat="false" ht="15" hidden="false" customHeight="true" outlineLevel="0" collapsed="false">
      <c r="A9" s="6" t="s">
        <v>13</v>
      </c>
      <c r="B9" s="12" t="n">
        <v>0.03625</v>
      </c>
      <c r="C9" s="8" t="s">
        <v>8</v>
      </c>
      <c r="D9" s="9" t="s">
        <v>14</v>
      </c>
    </row>
    <row r="10" customFormat="false" ht="15" hidden="false" customHeight="true" outlineLevel="0" collapsed="false">
      <c r="A10" s="6" t="s">
        <v>15</v>
      </c>
      <c r="B10" s="12" t="n">
        <v>0.02</v>
      </c>
      <c r="C10" s="8" t="s">
        <v>8</v>
      </c>
      <c r="D10" s="9" t="s">
        <v>16</v>
      </c>
    </row>
    <row r="11" customFormat="false" ht="15" hidden="false" customHeight="true" outlineLevel="0" collapsed="false">
      <c r="A11" s="11" t="s">
        <v>17</v>
      </c>
    </row>
    <row r="12" customFormat="false" ht="15" hidden="false" customHeight="true" outlineLevel="0" collapsed="false">
      <c r="A12" s="6" t="s">
        <v>18</v>
      </c>
      <c r="B12" s="10" t="n">
        <v>1.0875</v>
      </c>
      <c r="C12" s="8" t="s">
        <v>8</v>
      </c>
      <c r="D12" s="9" t="s">
        <v>9</v>
      </c>
    </row>
    <row r="13" customFormat="false" ht="15" hidden="false" customHeight="true" outlineLevel="0" collapsed="false">
      <c r="A13" s="11" t="s">
        <v>19</v>
      </c>
    </row>
    <row r="14" customFormat="false" ht="15" hidden="false" customHeight="true" outlineLevel="0" collapsed="false">
      <c r="A14" s="6" t="s">
        <v>20</v>
      </c>
      <c r="B14" s="10" t="n">
        <v>1.0875</v>
      </c>
      <c r="C14" s="8" t="s">
        <v>8</v>
      </c>
      <c r="D14" s="9" t="s">
        <v>21</v>
      </c>
    </row>
    <row r="15" customFormat="false" ht="15" hidden="false" customHeight="true" outlineLevel="0" collapsed="false">
      <c r="A15" s="6" t="s">
        <v>22</v>
      </c>
      <c r="B15" s="10" t="n">
        <v>0.015</v>
      </c>
      <c r="C15" s="8" t="s">
        <v>8</v>
      </c>
      <c r="D15" s="9" t="s">
        <v>9</v>
      </c>
    </row>
    <row r="16" customFormat="false" ht="15" hidden="false" customHeight="true" outlineLevel="0" collapsed="false"/>
    <row r="17" customFormat="false" ht="19.5" hidden="false" customHeight="true" outlineLevel="0" collapsed="false">
      <c r="A17" s="4" t="s">
        <v>23</v>
      </c>
      <c r="B17" s="4"/>
      <c r="C17" s="4"/>
      <c r="D17" s="4"/>
    </row>
    <row r="18" customFormat="false" ht="15" hidden="false" customHeight="true" outlineLevel="0" collapsed="false">
      <c r="A18" s="6" t="s">
        <v>24</v>
      </c>
      <c r="B18" s="13" t="n">
        <f aca="false">FC_AMT*F0_in</f>
        <v>4893750</v>
      </c>
      <c r="C18" s="14" t="s">
        <v>25</v>
      </c>
      <c r="D18" s="15" t="s">
        <v>26</v>
      </c>
    </row>
    <row r="19" customFormat="false" ht="15" hidden="false" customHeight="true" outlineLevel="0" collapsed="false"/>
    <row r="20" customFormat="false" ht="19.5" hidden="false" customHeight="true" outlineLevel="0" collapsed="false">
      <c r="A20" s="4" t="s">
        <v>27</v>
      </c>
      <c r="B20" s="4"/>
      <c r="C20" s="4"/>
      <c r="D20" s="4"/>
    </row>
    <row r="21" customFormat="false" ht="15" hidden="false" customHeight="true" outlineLevel="0" collapsed="false">
      <c r="A21" s="6" t="s">
        <v>28</v>
      </c>
      <c r="B21" s="13" t="n">
        <f aca="false">FC_AMT/(1+R_FC)</f>
        <v>4411764.70588235</v>
      </c>
      <c r="C21" s="16"/>
      <c r="D21" s="15" t="s">
        <v>29</v>
      </c>
    </row>
    <row r="22" customFormat="false" ht="15" hidden="false" customHeight="true" outlineLevel="0" collapsed="false">
      <c r="A22" s="6" t="s">
        <v>30</v>
      </c>
      <c r="B22" s="13" t="n">
        <f aca="false">B21*S0_in</f>
        <v>5083235.29411765</v>
      </c>
      <c r="C22" s="16"/>
      <c r="D22" s="15" t="s">
        <v>31</v>
      </c>
    </row>
    <row r="23" customFormat="false" ht="15" hidden="false" customHeight="true" outlineLevel="0" collapsed="false">
      <c r="A23" s="6" t="s">
        <v>32</v>
      </c>
      <c r="B23" s="13" t="n">
        <f aca="false">B22*(1+R_USD)</f>
        <v>5267502.57352941</v>
      </c>
      <c r="C23" s="14" t="s">
        <v>25</v>
      </c>
      <c r="D23" s="15" t="s">
        <v>33</v>
      </c>
    </row>
    <row r="24" customFormat="false" ht="15" hidden="false" customHeight="true" outlineLevel="0" collapsed="false">
      <c r="A24" s="9" t="s">
        <v>34</v>
      </c>
      <c r="B24" s="17" t="n">
        <f aca="false">B23-B18</f>
        <v>373752.57352941</v>
      </c>
      <c r="D24" s="9" t="s">
        <v>35</v>
      </c>
    </row>
    <row r="25" customFormat="false" ht="15" hidden="false" customHeight="true" outlineLevel="0" collapsed="false"/>
    <row r="26" customFormat="false" ht="19.5" hidden="false" customHeight="true" outlineLevel="0" collapsed="false">
      <c r="A26" s="4" t="s">
        <v>36</v>
      </c>
      <c r="B26" s="4"/>
      <c r="C26" s="4"/>
      <c r="D26" s="4"/>
    </row>
    <row r="27" customFormat="false" ht="15" hidden="false" customHeight="true" outlineLevel="0" collapsed="false">
      <c r="A27" s="6" t="s">
        <v>37</v>
      </c>
      <c r="B27" s="13" t="n">
        <f aca="false">-PREM_PUT*FC_AMT</f>
        <v>-67500</v>
      </c>
      <c r="C27" s="16"/>
      <c r="D27" s="15" t="s">
        <v>38</v>
      </c>
    </row>
    <row r="28" customFormat="false" ht="15" hidden="false" customHeight="true" outlineLevel="0" collapsed="false">
      <c r="A28" s="6" t="s">
        <v>39</v>
      </c>
      <c r="B28" s="13" t="n">
        <f aca="false">B27*(1+R_USD)</f>
        <v>-69946.875</v>
      </c>
      <c r="C28" s="16"/>
      <c r="D28" s="15" t="s">
        <v>40</v>
      </c>
    </row>
    <row r="29" customFormat="false" ht="15" hidden="false" customHeight="true" outlineLevel="0" collapsed="false">
      <c r="A29" s="6" t="s">
        <v>41</v>
      </c>
      <c r="B29" s="13" t="n">
        <f aca="false">FC_AMT*K_PUT+B28</f>
        <v>4823803.125</v>
      </c>
      <c r="C29" s="14" t="s">
        <v>42</v>
      </c>
      <c r="D29" s="15" t="s">
        <v>43</v>
      </c>
    </row>
    <row r="30" customFormat="false" ht="15" hidden="false" customHeight="true" outlineLevel="0" collapsed="false"/>
    <row r="31" customFormat="false" ht="19.5" hidden="false" customHeight="true" outlineLevel="0" collapsed="false">
      <c r="A31" s="4" t="s">
        <v>44</v>
      </c>
      <c r="B31" s="4"/>
      <c r="C31" s="4"/>
      <c r="D31" s="4"/>
      <c r="E31" s="4"/>
      <c r="F31" s="4"/>
      <c r="G31" s="4"/>
      <c r="H31" s="4"/>
      <c r="I31" s="4"/>
      <c r="J31" s="4"/>
    </row>
    <row r="32" customFormat="false" ht="30" hidden="false" customHeight="true" outlineLevel="0" collapsed="false">
      <c r="A32" s="5" t="s">
        <v>45</v>
      </c>
      <c r="B32" s="5" t="s">
        <v>46</v>
      </c>
      <c r="C32" s="5" t="s">
        <v>47</v>
      </c>
      <c r="D32" s="5" t="s">
        <v>48</v>
      </c>
      <c r="E32" s="5" t="s">
        <v>49</v>
      </c>
      <c r="F32" s="5" t="s">
        <v>50</v>
      </c>
      <c r="G32" s="5" t="s">
        <v>51</v>
      </c>
      <c r="H32" s="5" t="s">
        <v>52</v>
      </c>
      <c r="I32" s="5" t="s">
        <v>53</v>
      </c>
      <c r="J32" s="5" t="s">
        <v>54</v>
      </c>
    </row>
    <row r="33" customFormat="false" ht="15" hidden="false" customHeight="true" outlineLevel="0" collapsed="false">
      <c r="A33" s="18" t="n">
        <f aca="false">S0_in*(1+-0.05)</f>
        <v>1.09459</v>
      </c>
      <c r="B33" s="19" t="n">
        <f aca="false">A33*FC_AMT</f>
        <v>4925655</v>
      </c>
      <c r="C33" s="19" t="n">
        <f aca="false">F0_in*FC_AMT</f>
        <v>4893750</v>
      </c>
      <c r="D33" s="19" t="n">
        <f aca="false">B23</f>
        <v>5267502.57352941</v>
      </c>
      <c r="E33" s="19" t="n">
        <f aca="false">IF(A33&lt;K_PUT,FC_AMT*K_PUT,FC_AMT*A33)+B28</f>
        <v>4855708.125</v>
      </c>
      <c r="F33" s="19" t="n">
        <f aca="false">C33-B33</f>
        <v>-31905</v>
      </c>
      <c r="G33" s="19" t="n">
        <f aca="false">D33-B33</f>
        <v>341847.57352941</v>
      </c>
      <c r="H33" s="19" t="n">
        <f aca="false">E33-B33</f>
        <v>-69946.875</v>
      </c>
      <c r="I33" s="20" t="str">
        <f aca="false">IF(AND(C33&gt;=B33,C33&gt;=D33,C33&gt;=E33),"1. Forward",IF(AND(D33&gt;=B33,D33&gt;=C33,D33&gt;=E33),"2. Money Mkt",IF(AND(E33&gt;=B33,E33&gt;=C33,E33&gt;=D33),"3. Option","0. No Hedge")))</f>
        <v>2. Money Mkt</v>
      </c>
      <c r="J33" s="20" t="str">
        <f aca="false">IF(AND(C33&gt;=D33,C33&gt;=E33),"1. Forward",IF(D33&gt;=E33,"2. Money Mkt","3. Option"))</f>
        <v>2. Money Mkt</v>
      </c>
    </row>
    <row r="34" customFormat="false" ht="15" hidden="false" customHeight="true" outlineLevel="0" collapsed="false">
      <c r="A34" s="21" t="n">
        <f aca="false">S0_in*(1+-0.04)</f>
        <v>1.106112</v>
      </c>
      <c r="B34" s="22" t="n">
        <f aca="false">A34*FC_AMT</f>
        <v>4977504</v>
      </c>
      <c r="C34" s="22" t="n">
        <f aca="false">F0_in*FC_AMT</f>
        <v>4893750</v>
      </c>
      <c r="D34" s="22" t="n">
        <f aca="false">B23</f>
        <v>5267502.57352941</v>
      </c>
      <c r="E34" s="22" t="n">
        <f aca="false">IF(A34&lt;K_PUT,FC_AMT*K_PUT,FC_AMT*A34)+B28</f>
        <v>4907557.125</v>
      </c>
      <c r="F34" s="22" t="n">
        <f aca="false">C34-B34</f>
        <v>-83753.9999999991</v>
      </c>
      <c r="G34" s="22" t="n">
        <f aca="false">D34-B34</f>
        <v>289998.573529411</v>
      </c>
      <c r="H34" s="22" t="n">
        <f aca="false">E34-B34</f>
        <v>-69946.875</v>
      </c>
      <c r="I34" s="23" t="str">
        <f aca="false">IF(AND(C34&gt;=B34,C34&gt;=D34,C34&gt;=E34),"1. Forward",IF(AND(D34&gt;=B34,D34&gt;=C34,D34&gt;=E34),"2. Money Mkt",IF(AND(E34&gt;=B34,E34&gt;=C34,E34&gt;=D34),"3. Option","0. No Hedge")))</f>
        <v>2. Money Mkt</v>
      </c>
      <c r="J34" s="23" t="str">
        <f aca="false">IF(AND(C34&gt;=D34,C34&gt;=E34),"1. Forward",IF(D34&gt;=E34,"2. Money Mkt","3. Option"))</f>
        <v>2. Money Mkt</v>
      </c>
    </row>
    <row r="35" customFormat="false" ht="15" hidden="false" customHeight="true" outlineLevel="0" collapsed="false">
      <c r="A35" s="18" t="n">
        <f aca="false">S0_in*(1+-0.03)</f>
        <v>1.117634</v>
      </c>
      <c r="B35" s="19" t="n">
        <f aca="false">A35*FC_AMT</f>
        <v>5029353</v>
      </c>
      <c r="C35" s="19" t="n">
        <f aca="false">F0_in*FC_AMT</f>
        <v>4893750</v>
      </c>
      <c r="D35" s="19" t="n">
        <f aca="false">B23</f>
        <v>5267502.57352941</v>
      </c>
      <c r="E35" s="19" t="n">
        <f aca="false">IF(A35&lt;K_PUT,FC_AMT*K_PUT,FC_AMT*A35)+B28</f>
        <v>4959406.125</v>
      </c>
      <c r="F35" s="19" t="n">
        <f aca="false">C35-B35</f>
        <v>-135602.999999999</v>
      </c>
      <c r="G35" s="19" t="n">
        <f aca="false">D35-B35</f>
        <v>238149.573529411</v>
      </c>
      <c r="H35" s="19" t="n">
        <f aca="false">E35-B35</f>
        <v>-69946.875</v>
      </c>
      <c r="I35" s="20" t="str">
        <f aca="false">IF(AND(C35&gt;=B35,C35&gt;=D35,C35&gt;=E35),"1. Forward",IF(AND(D35&gt;=B35,D35&gt;=C35,D35&gt;=E35),"2. Money Mkt",IF(AND(E35&gt;=B35,E35&gt;=C35,E35&gt;=D35),"3. Option","0. No Hedge")))</f>
        <v>2. Money Mkt</v>
      </c>
      <c r="J35" s="20" t="str">
        <f aca="false">IF(AND(C35&gt;=D35,C35&gt;=E35),"1. Forward",IF(D35&gt;=E35,"2. Money Mkt","3. Option"))</f>
        <v>2. Money Mkt</v>
      </c>
    </row>
    <row r="36" customFormat="false" ht="15" hidden="false" customHeight="true" outlineLevel="0" collapsed="false">
      <c r="A36" s="21" t="n">
        <f aca="false">S0_in*(1+-0.02)</f>
        <v>1.129156</v>
      </c>
      <c r="B36" s="22" t="n">
        <f aca="false">A36*FC_AMT</f>
        <v>5081202</v>
      </c>
      <c r="C36" s="22" t="n">
        <f aca="false">F0_in*FC_AMT</f>
        <v>4893750</v>
      </c>
      <c r="D36" s="22" t="n">
        <f aca="false">B23</f>
        <v>5267502.57352941</v>
      </c>
      <c r="E36" s="22" t="n">
        <f aca="false">IF(A36&lt;K_PUT,FC_AMT*K_PUT,FC_AMT*A36)+B28</f>
        <v>5011255.125</v>
      </c>
      <c r="F36" s="22" t="n">
        <f aca="false">C36-B36</f>
        <v>-187451.999999999</v>
      </c>
      <c r="G36" s="22" t="n">
        <f aca="false">D36-B36</f>
        <v>186300.573529411</v>
      </c>
      <c r="H36" s="22" t="n">
        <f aca="false">E36-B36</f>
        <v>-69946.875</v>
      </c>
      <c r="I36" s="23" t="str">
        <f aca="false">IF(AND(C36&gt;=B36,C36&gt;=D36,C36&gt;=E36),"1. Forward",IF(AND(D36&gt;=B36,D36&gt;=C36,D36&gt;=E36),"2. Money Mkt",IF(AND(E36&gt;=B36,E36&gt;=C36,E36&gt;=D36),"3. Option","0. No Hedge")))</f>
        <v>2. Money Mkt</v>
      </c>
      <c r="J36" s="23" t="str">
        <f aca="false">IF(AND(C36&gt;=D36,C36&gt;=E36),"1. Forward",IF(D36&gt;=E36,"2. Money Mkt","3. Option"))</f>
        <v>2. Money Mkt</v>
      </c>
    </row>
    <row r="37" customFormat="false" ht="15" hidden="false" customHeight="true" outlineLevel="0" collapsed="false">
      <c r="A37" s="18" t="n">
        <f aca="false">S0_in*(1+-0.01)</f>
        <v>1.140678</v>
      </c>
      <c r="B37" s="19" t="n">
        <f aca="false">A37*FC_AMT</f>
        <v>5133051</v>
      </c>
      <c r="C37" s="19" t="n">
        <f aca="false">F0_in*FC_AMT</f>
        <v>4893750</v>
      </c>
      <c r="D37" s="19" t="n">
        <f aca="false">B23</f>
        <v>5267502.57352941</v>
      </c>
      <c r="E37" s="19" t="n">
        <f aca="false">IF(A37&lt;K_PUT,FC_AMT*K_PUT,FC_AMT*A37)+B28</f>
        <v>5063104.125</v>
      </c>
      <c r="F37" s="19" t="n">
        <f aca="false">C37-B37</f>
        <v>-239300.999999999</v>
      </c>
      <c r="G37" s="19" t="n">
        <f aca="false">D37-B37</f>
        <v>134451.573529411</v>
      </c>
      <c r="H37" s="19" t="n">
        <f aca="false">E37-B37</f>
        <v>-69946.875</v>
      </c>
      <c r="I37" s="20" t="str">
        <f aca="false">IF(AND(C37&gt;=B37,C37&gt;=D37,C37&gt;=E37),"1. Forward",IF(AND(D37&gt;=B37,D37&gt;=C37,D37&gt;=E37),"2. Money Mkt",IF(AND(E37&gt;=B37,E37&gt;=C37,E37&gt;=D37),"3. Option","0. No Hedge")))</f>
        <v>2. Money Mkt</v>
      </c>
      <c r="J37" s="20" t="str">
        <f aca="false">IF(AND(C37&gt;=D37,C37&gt;=E37),"1. Forward",IF(D37&gt;=E37,"2. Money Mkt","3. Option"))</f>
        <v>2. Money Mkt</v>
      </c>
    </row>
    <row r="38" customFormat="false" ht="15" hidden="false" customHeight="true" outlineLevel="0" collapsed="false">
      <c r="A38" s="24" t="n">
        <f aca="false">S0_in*(1+0)</f>
        <v>1.1522</v>
      </c>
      <c r="B38" s="25" t="n">
        <f aca="false">A38*FC_AMT</f>
        <v>5184900</v>
      </c>
      <c r="C38" s="25" t="n">
        <f aca="false">F0_in*FC_AMT</f>
        <v>4893750</v>
      </c>
      <c r="D38" s="25" t="n">
        <f aca="false">B23</f>
        <v>5267502.57352941</v>
      </c>
      <c r="E38" s="25" t="n">
        <f aca="false">IF(A38&lt;K_PUT,FC_AMT*K_PUT,FC_AMT*A38)+B28</f>
        <v>5114953.125</v>
      </c>
      <c r="F38" s="25" t="n">
        <f aca="false">C38-B38</f>
        <v>-291149.999999999</v>
      </c>
      <c r="G38" s="25" t="n">
        <f aca="false">D38-B38</f>
        <v>82602.5735294111</v>
      </c>
      <c r="H38" s="25" t="n">
        <f aca="false">E38-B38</f>
        <v>-69946.875</v>
      </c>
      <c r="I38" s="26" t="str">
        <f aca="false">IF(AND(C38&gt;=B38,C38&gt;=D38,C38&gt;=E38),"1. Forward",IF(AND(D38&gt;=B38,D38&gt;=C38,D38&gt;=E38),"2. Money Mkt",IF(AND(E38&gt;=B38,E38&gt;=C38,E38&gt;=D38),"3. Option","0. No Hedge")))</f>
        <v>2. Money Mkt</v>
      </c>
      <c r="J38" s="26" t="str">
        <f aca="false">IF(AND(C38&gt;=D38,C38&gt;=E38),"1. Forward",IF(D38&gt;=E38,"2. Money Mkt","3. Option"))</f>
        <v>2. Money Mkt</v>
      </c>
    </row>
    <row r="39" customFormat="false" ht="15" hidden="false" customHeight="true" outlineLevel="0" collapsed="false">
      <c r="A39" s="18" t="n">
        <f aca="false">S0_in*(1+0.01)</f>
        <v>1.163722</v>
      </c>
      <c r="B39" s="19" t="n">
        <f aca="false">A39*FC_AMT</f>
        <v>5236749</v>
      </c>
      <c r="C39" s="19" t="n">
        <f aca="false">F0_in*FC_AMT</f>
        <v>4893750</v>
      </c>
      <c r="D39" s="19" t="n">
        <f aca="false">B23</f>
        <v>5267502.57352941</v>
      </c>
      <c r="E39" s="19" t="n">
        <f aca="false">IF(A39&lt;K_PUT,FC_AMT*K_PUT,FC_AMT*A39)+B28</f>
        <v>5166802.125</v>
      </c>
      <c r="F39" s="19" t="n">
        <f aca="false">C39-B39</f>
        <v>-342999</v>
      </c>
      <c r="G39" s="19" t="n">
        <f aca="false">D39-B39</f>
        <v>30753.5735294102</v>
      </c>
      <c r="H39" s="19" t="n">
        <f aca="false">E39-B39</f>
        <v>-69946.875</v>
      </c>
      <c r="I39" s="20" t="str">
        <f aca="false">IF(AND(C39&gt;=B39,C39&gt;=D39,C39&gt;=E39),"1. Forward",IF(AND(D39&gt;=B39,D39&gt;=C39,D39&gt;=E39),"2. Money Mkt",IF(AND(E39&gt;=B39,E39&gt;=C39,E39&gt;=D39),"3. Option","0. No Hedge")))</f>
        <v>2. Money Mkt</v>
      </c>
      <c r="J39" s="20" t="str">
        <f aca="false">IF(AND(C39&gt;=D39,C39&gt;=E39),"1. Forward",IF(D39&gt;=E39,"2. Money Mkt","3. Option"))</f>
        <v>2. Money Mkt</v>
      </c>
    </row>
    <row r="40" customFormat="false" ht="15" hidden="false" customHeight="true" outlineLevel="0" collapsed="false">
      <c r="A40" s="21" t="n">
        <f aca="false">S0_in*(1+0.02)</f>
        <v>1.175244</v>
      </c>
      <c r="B40" s="22" t="n">
        <f aca="false">A40*FC_AMT</f>
        <v>5288598</v>
      </c>
      <c r="C40" s="22" t="n">
        <f aca="false">F0_in*FC_AMT</f>
        <v>4893750</v>
      </c>
      <c r="D40" s="22" t="n">
        <f aca="false">B23</f>
        <v>5267502.57352941</v>
      </c>
      <c r="E40" s="22" t="n">
        <f aca="false">IF(A40&lt;K_PUT,FC_AMT*K_PUT,FC_AMT*A40)+B28</f>
        <v>5218651.125</v>
      </c>
      <c r="F40" s="22" t="n">
        <f aca="false">C40-B40</f>
        <v>-394848</v>
      </c>
      <c r="G40" s="22" t="n">
        <f aca="false">D40-B40</f>
        <v>-21095.4264705898</v>
      </c>
      <c r="H40" s="22" t="n">
        <f aca="false">E40-B40</f>
        <v>-69946.875</v>
      </c>
      <c r="I40" s="23" t="str">
        <f aca="false">IF(AND(C40&gt;=B40,C40&gt;=D40,C40&gt;=E40),"1. Forward",IF(AND(D40&gt;=B40,D40&gt;=C40,D40&gt;=E40),"2. Money Mkt",IF(AND(E40&gt;=B40,E40&gt;=C40,E40&gt;=D40),"3. Option","0. No Hedge")))</f>
        <v>0. No Hedge</v>
      </c>
      <c r="J40" s="23" t="str">
        <f aca="false">IF(AND(C40&gt;=D40,C40&gt;=E40),"1. Forward",IF(D40&gt;=E40,"2. Money Mkt","3. Option"))</f>
        <v>2. Money Mkt</v>
      </c>
    </row>
    <row r="41" customFormat="false" ht="15" hidden="false" customHeight="true" outlineLevel="0" collapsed="false">
      <c r="A41" s="18" t="n">
        <f aca="false">S0_in*(1+0.03)</f>
        <v>1.186766</v>
      </c>
      <c r="B41" s="19" t="n">
        <f aca="false">A41*FC_AMT</f>
        <v>5340447</v>
      </c>
      <c r="C41" s="19" t="n">
        <f aca="false">F0_in*FC_AMT</f>
        <v>4893750</v>
      </c>
      <c r="D41" s="19" t="n">
        <f aca="false">B23</f>
        <v>5267502.57352941</v>
      </c>
      <c r="E41" s="19" t="n">
        <f aca="false">IF(A41&lt;K_PUT,FC_AMT*K_PUT,FC_AMT*A41)+B28</f>
        <v>5270500.125</v>
      </c>
      <c r="F41" s="19" t="n">
        <f aca="false">C41-B41</f>
        <v>-446697</v>
      </c>
      <c r="G41" s="19" t="n">
        <f aca="false">D41-B41</f>
        <v>-72944.4264705898</v>
      </c>
      <c r="H41" s="19" t="n">
        <f aca="false">E41-B41</f>
        <v>-69946.875</v>
      </c>
      <c r="I41" s="20" t="str">
        <f aca="false">IF(AND(C41&gt;=B41,C41&gt;=D41,C41&gt;=E41),"1. Forward",IF(AND(D41&gt;=B41,D41&gt;=C41,D41&gt;=E41),"2. Money Mkt",IF(AND(E41&gt;=B41,E41&gt;=C41,E41&gt;=D41),"3. Option","0. No Hedge")))</f>
        <v>0. No Hedge</v>
      </c>
      <c r="J41" s="20" t="str">
        <f aca="false">IF(AND(C41&gt;=D41,C41&gt;=E41),"1. Forward",IF(D41&gt;=E41,"2. Money Mkt","3. Option"))</f>
        <v>3. Option</v>
      </c>
    </row>
    <row r="42" customFormat="false" ht="15" hidden="false" customHeight="true" outlineLevel="0" collapsed="false">
      <c r="A42" s="21" t="n">
        <f aca="false">S0_in*(1+0.04)</f>
        <v>1.198288</v>
      </c>
      <c r="B42" s="22" t="n">
        <f aca="false">A42*FC_AMT</f>
        <v>5392296</v>
      </c>
      <c r="C42" s="22" t="n">
        <f aca="false">F0_in*FC_AMT</f>
        <v>4893750</v>
      </c>
      <c r="D42" s="22" t="n">
        <f aca="false">B23</f>
        <v>5267502.57352941</v>
      </c>
      <c r="E42" s="22" t="n">
        <f aca="false">IF(A42&lt;K_PUT,FC_AMT*K_PUT,FC_AMT*A42)+B28</f>
        <v>5322349.125</v>
      </c>
      <c r="F42" s="22" t="n">
        <f aca="false">C42-B42</f>
        <v>-498546</v>
      </c>
      <c r="G42" s="22" t="n">
        <f aca="false">D42-B42</f>
        <v>-124793.42647059</v>
      </c>
      <c r="H42" s="22" t="n">
        <f aca="false">E42-B42</f>
        <v>-69946.875</v>
      </c>
      <c r="I42" s="23" t="str">
        <f aca="false">IF(AND(C42&gt;=B42,C42&gt;=D42,C42&gt;=E42),"1. Forward",IF(AND(D42&gt;=B42,D42&gt;=C42,D42&gt;=E42),"2. Money Mkt",IF(AND(E42&gt;=B42,E42&gt;=C42,E42&gt;=D42),"3. Option","0. No Hedge")))</f>
        <v>0. No Hedge</v>
      </c>
      <c r="J42" s="23" t="str">
        <f aca="false">IF(AND(C42&gt;=D42,C42&gt;=E42),"1. Forward",IF(D42&gt;=E42,"2. Money Mkt","3. Option"))</f>
        <v>3. Option</v>
      </c>
    </row>
    <row r="43" customFormat="false" ht="15" hidden="false" customHeight="true" outlineLevel="0" collapsed="false">
      <c r="A43" s="18" t="n">
        <f aca="false">S0_in*(1+0.05)</f>
        <v>1.20981</v>
      </c>
      <c r="B43" s="19" t="n">
        <f aca="false">A43*FC_AMT</f>
        <v>5444145</v>
      </c>
      <c r="C43" s="19" t="n">
        <f aca="false">F0_in*FC_AMT</f>
        <v>4893750</v>
      </c>
      <c r="D43" s="19" t="n">
        <f aca="false">B23</f>
        <v>5267502.57352941</v>
      </c>
      <c r="E43" s="19" t="n">
        <f aca="false">IF(A43&lt;K_PUT,FC_AMT*K_PUT,FC_AMT*A43)+B28</f>
        <v>5374198.125</v>
      </c>
      <c r="F43" s="19" t="n">
        <f aca="false">C43-B43</f>
        <v>-550394.999999999</v>
      </c>
      <c r="G43" s="19" t="n">
        <f aca="false">D43-B43</f>
        <v>-176642.426470589</v>
      </c>
      <c r="H43" s="19" t="n">
        <f aca="false">E43-B43</f>
        <v>-69946.875</v>
      </c>
      <c r="I43" s="20" t="str">
        <f aca="false">IF(AND(C43&gt;=B43,C43&gt;=D43,C43&gt;=E43),"1. Forward",IF(AND(D43&gt;=B43,D43&gt;=C43,D43&gt;=E43),"2. Money Mkt",IF(AND(E43&gt;=B43,E43&gt;=C43,E43&gt;=D43),"3. Option","0. No Hedge")))</f>
        <v>0. No Hedge</v>
      </c>
      <c r="J43" s="20" t="str">
        <f aca="false">IF(AND(C43&gt;=D43,C43&gt;=E43),"1. Forward",IF(D43&gt;=E43,"2. Money Mkt","3. Option"))</f>
        <v>3. Option</v>
      </c>
    </row>
    <row r="44" customFormat="false" ht="15" hidden="false" customHeight="true" outlineLevel="0" collapsed="false"/>
    <row r="45" customFormat="false" ht="19.5" hidden="false" customHeight="true" outlineLevel="0" collapsed="false">
      <c r="A45" s="4" t="s">
        <v>55</v>
      </c>
      <c r="B45" s="4"/>
      <c r="C45" s="4"/>
      <c r="D45" s="4"/>
      <c r="E45" s="4"/>
      <c r="F45" s="4"/>
    </row>
    <row r="46" customFormat="false" ht="30" hidden="false" customHeight="true" outlineLevel="0" collapsed="false">
      <c r="A46" s="5" t="s">
        <v>56</v>
      </c>
      <c r="B46" s="5" t="s">
        <v>57</v>
      </c>
      <c r="C46" s="5" t="s">
        <v>58</v>
      </c>
      <c r="D46" s="5" t="s">
        <v>59</v>
      </c>
      <c r="E46" s="5"/>
      <c r="F46" s="5"/>
    </row>
    <row r="47" customFormat="false" ht="15" hidden="false" customHeight="true" outlineLevel="0" collapsed="false">
      <c r="A47" s="27" t="s">
        <v>60</v>
      </c>
      <c r="B47" s="28" t="n">
        <f aca="false">FC_AMT*S0_in</f>
        <v>5184900</v>
      </c>
      <c r="C47" s="28" t="s">
        <v>61</v>
      </c>
      <c r="D47" s="29" t="s">
        <v>62</v>
      </c>
      <c r="E47" s="29"/>
      <c r="F47" s="29"/>
    </row>
    <row r="48" customFormat="false" ht="15" hidden="false" customHeight="true" outlineLevel="0" collapsed="false">
      <c r="A48" s="27" t="s">
        <v>63</v>
      </c>
      <c r="B48" s="28" t="n">
        <f aca="false">B18</f>
        <v>4893750</v>
      </c>
      <c r="C48" s="28" t="n">
        <f aca="false">B48-B47</f>
        <v>-291149.999999999</v>
      </c>
      <c r="D48" s="29" t="s">
        <v>64</v>
      </c>
      <c r="E48" s="29"/>
      <c r="F48" s="29"/>
    </row>
    <row r="49" customFormat="false" ht="15" hidden="false" customHeight="true" outlineLevel="0" collapsed="false">
      <c r="A49" s="27" t="s">
        <v>65</v>
      </c>
      <c r="B49" s="28" t="n">
        <f aca="false">B23</f>
        <v>5267502.57352941</v>
      </c>
      <c r="C49" s="28" t="n">
        <f aca="false">B49-B47</f>
        <v>82602.5735294111</v>
      </c>
      <c r="D49" s="29" t="s">
        <v>66</v>
      </c>
      <c r="E49" s="29"/>
      <c r="F49" s="29"/>
    </row>
    <row r="50" customFormat="false" ht="15" hidden="false" customHeight="true" outlineLevel="0" collapsed="false">
      <c r="A50" s="27" t="s">
        <v>67</v>
      </c>
      <c r="B50" s="28" t="n">
        <f aca="false">B29</f>
        <v>4823803.125</v>
      </c>
      <c r="C50" s="28" t="n">
        <f aca="false">B50-B47</f>
        <v>-361096.874999999</v>
      </c>
      <c r="D50" s="29" t="s">
        <v>68</v>
      </c>
      <c r="E50" s="29"/>
      <c r="F50" s="29"/>
    </row>
    <row r="51" customFormat="false" ht="15" hidden="false" customHeight="true" outlineLevel="0" collapsed="false">
      <c r="A51" s="30" t="s">
        <v>69</v>
      </c>
      <c r="B51" s="31" t="s">
        <v>70</v>
      </c>
      <c r="C51" s="31"/>
      <c r="D51" s="31"/>
      <c r="E51" s="31"/>
      <c r="F51" s="31"/>
    </row>
  </sheetData>
  <mergeCells count="14">
    <mergeCell ref="A1:J1"/>
    <mergeCell ref="A2:J2"/>
    <mergeCell ref="A4:D4"/>
    <mergeCell ref="A17:D17"/>
    <mergeCell ref="A20:D20"/>
    <mergeCell ref="A26:D26"/>
    <mergeCell ref="A31:J31"/>
    <mergeCell ref="A45:F45"/>
    <mergeCell ref="D46:F46"/>
    <mergeCell ref="D47:F47"/>
    <mergeCell ref="D48:F48"/>
    <mergeCell ref="D49:F49"/>
    <mergeCell ref="D50:F50"/>
    <mergeCell ref="B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5"/>
  </cols>
  <sheetData>
    <row r="1" customFormat="false" ht="21.75" hidden="false" customHeight="true" outlineLevel="0" collapsed="false">
      <c r="A1" s="32" t="s">
        <v>71</v>
      </c>
      <c r="B1" s="32"/>
    </row>
    <row r="3" customFormat="false" ht="21.75" hidden="false" customHeight="true" outlineLevel="0" collapsed="false">
      <c r="A3" s="32" t="s">
        <v>72</v>
      </c>
      <c r="B3" s="32"/>
    </row>
    <row r="4" customFormat="false" ht="31.5" hidden="false" customHeight="true" outlineLevel="0" collapsed="false">
      <c r="A4" s="33" t="s">
        <v>73</v>
      </c>
      <c r="B4" s="34" t="s">
        <v>74</v>
      </c>
    </row>
    <row r="5" customFormat="false" ht="31.5" hidden="false" customHeight="true" outlineLevel="0" collapsed="false">
      <c r="A5" s="33" t="s">
        <v>75</v>
      </c>
      <c r="B5" s="34" t="s">
        <v>76</v>
      </c>
    </row>
    <row r="6" customFormat="false" ht="31.5" hidden="false" customHeight="true" outlineLevel="0" collapsed="false">
      <c r="A6" s="33" t="s">
        <v>77</v>
      </c>
      <c r="B6" s="34" t="s">
        <v>78</v>
      </c>
    </row>
    <row r="7" customFormat="false" ht="31.5" hidden="false" customHeight="true" outlineLevel="0" collapsed="false">
      <c r="A7" s="33" t="s">
        <v>79</v>
      </c>
      <c r="B7" s="34" t="s">
        <v>80</v>
      </c>
    </row>
    <row r="9" customFormat="false" ht="21.75" hidden="false" customHeight="true" outlineLevel="0" collapsed="false">
      <c r="A9" s="32" t="s">
        <v>81</v>
      </c>
      <c r="B9" s="32"/>
    </row>
    <row r="10" customFormat="false" ht="31.5" hidden="false" customHeight="true" outlineLevel="0" collapsed="false">
      <c r="A10" s="33" t="s">
        <v>82</v>
      </c>
      <c r="B10" s="34" t="s">
        <v>83</v>
      </c>
    </row>
    <row r="11" customFormat="false" ht="31.5" hidden="false" customHeight="true" outlineLevel="0" collapsed="false">
      <c r="A11" s="33" t="s">
        <v>84</v>
      </c>
      <c r="B11" s="34" t="s">
        <v>85</v>
      </c>
    </row>
    <row r="12" customFormat="false" ht="31.5" hidden="false" customHeight="true" outlineLevel="0" collapsed="false">
      <c r="A12" s="33" t="s">
        <v>86</v>
      </c>
      <c r="B12" s="34" t="s">
        <v>87</v>
      </c>
    </row>
    <row r="13" customFormat="false" ht="31.5" hidden="false" customHeight="true" outlineLevel="0" collapsed="false">
      <c r="A13" s="33" t="s">
        <v>88</v>
      </c>
      <c r="B13" s="34" t="s">
        <v>89</v>
      </c>
    </row>
    <row r="14" customFormat="false" ht="31.5" hidden="false" customHeight="true" outlineLevel="0" collapsed="false">
      <c r="A14" s="33" t="s">
        <v>90</v>
      </c>
      <c r="B14" s="34" t="s">
        <v>91</v>
      </c>
    </row>
    <row r="15" customFormat="false" ht="31.5" hidden="false" customHeight="true" outlineLevel="0" collapsed="false">
      <c r="A15" s="33" t="s">
        <v>92</v>
      </c>
      <c r="B15" s="34" t="s">
        <v>93</v>
      </c>
    </row>
    <row r="17" customFormat="false" ht="21.75" hidden="false" customHeight="true" outlineLevel="0" collapsed="false">
      <c r="A17" s="32" t="s">
        <v>94</v>
      </c>
      <c r="B17" s="32"/>
    </row>
    <row r="18" customFormat="false" ht="31.5" hidden="false" customHeight="true" outlineLevel="0" collapsed="false">
      <c r="A18" s="33" t="s">
        <v>95</v>
      </c>
      <c r="B18" s="34" t="s">
        <v>96</v>
      </c>
    </row>
    <row r="19" customFormat="false" ht="31.5" hidden="false" customHeight="true" outlineLevel="0" collapsed="false">
      <c r="A19" s="33" t="s">
        <v>97</v>
      </c>
      <c r="B19" s="34" t="s">
        <v>98</v>
      </c>
    </row>
    <row r="20" customFormat="false" ht="31.5" hidden="false" customHeight="true" outlineLevel="0" collapsed="false">
      <c r="A20" s="33" t="s">
        <v>99</v>
      </c>
      <c r="B20" s="34" t="s">
        <v>100</v>
      </c>
    </row>
    <row r="21" customFormat="false" ht="31.5" hidden="false" customHeight="true" outlineLevel="0" collapsed="false">
      <c r="A21" s="33" t="s">
        <v>101</v>
      </c>
      <c r="B21" s="34" t="s">
        <v>102</v>
      </c>
    </row>
    <row r="22" customFormat="false" ht="31.5" hidden="false" customHeight="true" outlineLevel="0" collapsed="false">
      <c r="A22" s="33" t="s">
        <v>103</v>
      </c>
      <c r="B22" s="34" t="s">
        <v>104</v>
      </c>
    </row>
    <row r="24" customFormat="false" ht="21.75" hidden="false" customHeight="true" outlineLevel="0" collapsed="false">
      <c r="A24" s="32" t="s">
        <v>105</v>
      </c>
      <c r="B24" s="32"/>
    </row>
    <row r="25" customFormat="false" ht="15" hidden="false" customHeight="true" outlineLevel="0" collapsed="false">
      <c r="A25" s="35" t="s">
        <v>106</v>
      </c>
      <c r="B25" s="36" t="s">
        <v>107</v>
      </c>
    </row>
    <row r="26" customFormat="false" ht="15" hidden="false" customHeight="true" outlineLevel="0" collapsed="false">
      <c r="A26" s="37" t="s">
        <v>108</v>
      </c>
      <c r="B26" s="36" t="s">
        <v>109</v>
      </c>
    </row>
    <row r="27" customFormat="false" ht="15" hidden="false" customHeight="true" outlineLevel="0" collapsed="false">
      <c r="A27" s="38" t="s">
        <v>110</v>
      </c>
      <c r="B27" s="36" t="s">
        <v>111</v>
      </c>
    </row>
    <row r="28" customFormat="false" ht="15" hidden="false" customHeight="true" outlineLevel="0" collapsed="false">
      <c r="A28" s="33" t="s">
        <v>112</v>
      </c>
      <c r="B28" s="36" t="s">
        <v>113</v>
      </c>
    </row>
    <row r="29" customFormat="false" ht="15" hidden="false" customHeight="true" outlineLevel="0" collapsed="false">
      <c r="A29" s="39" t="s">
        <v>114</v>
      </c>
      <c r="B29" s="36" t="s">
        <v>115</v>
      </c>
    </row>
  </sheetData>
  <mergeCells count="5">
    <mergeCell ref="A1:B1"/>
    <mergeCell ref="A3:B3"/>
    <mergeCell ref="A9:B9"/>
    <mergeCell ref="A17:B17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2026-04-18T04:27:22Z</dcterms:created>
  <dc:creator>openpyxl</dc:creator>
  <dc:description/>
  <dc:language>en-US</dc:language>
  <cp:lastModifiedBy/>
  <dcterms:modified xsi:type="dcterms:W3CDTF">2026-04-18T04:28:07Z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